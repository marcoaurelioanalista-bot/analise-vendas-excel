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arco\Downloads\"/>
    </mc:Choice>
  </mc:AlternateContent>
  <bookViews>
    <workbookView xWindow="0" yWindow="0" windowWidth="21600" windowHeight="9735"/>
  </bookViews>
  <sheets>
    <sheet name="DIA 1" sheetId="1" r:id="rId1"/>
    <sheet name="DIA 2" sheetId="3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1" l="1"/>
  <c r="K3" i="1"/>
  <c r="H12" i="1"/>
  <c r="H9" i="1"/>
  <c r="H11" i="1"/>
  <c r="H8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" i="1"/>
  <c r="B12" i="3" l="1"/>
  <c r="B11" i="3"/>
  <c r="B8" i="3"/>
</calcChain>
</file>

<file path=xl/sharedStrings.xml><?xml version="1.0" encoding="utf-8"?>
<sst xmlns="http://schemas.openxmlformats.org/spreadsheetml/2006/main" count="61" uniqueCount="40">
  <si>
    <t>CLIENTE</t>
  </si>
  <si>
    <t>VALOR DA COMPRA</t>
  </si>
  <si>
    <t>Rose Rico</t>
  </si>
  <si>
    <t>Liam Tabosa</t>
  </si>
  <si>
    <t>Anselmo França</t>
  </si>
  <si>
    <t>Ângela Teves</t>
  </si>
  <si>
    <t>César Costa</t>
  </si>
  <si>
    <t>Nuna Noronha</t>
  </si>
  <si>
    <t>Bernardo Freitas</t>
  </si>
  <si>
    <t>Genésia Azenha</t>
  </si>
  <si>
    <t>Adriel Arruda</t>
  </si>
  <si>
    <t>Cael Mont'Alverne</t>
  </si>
  <si>
    <t>Benício Moita</t>
  </si>
  <si>
    <t>Yasmina Chamusca</t>
  </si>
  <si>
    <t>Prapti Cerqueira</t>
  </si>
  <si>
    <t>Núria Leiria</t>
  </si>
  <si>
    <t>Vítor Trigueiro</t>
  </si>
  <si>
    <t>Daiana Gois</t>
  </si>
  <si>
    <t>Mohammad Salgado</t>
  </si>
  <si>
    <t>Lucas Prates</t>
  </si>
  <si>
    <t>Kévin Fagundes</t>
  </si>
  <si>
    <t>Gilson Póvoas</t>
  </si>
  <si>
    <t>ID</t>
  </si>
  <si>
    <t>NOME DO CLIENTE:</t>
  </si>
  <si>
    <t>VALOR DA COMPRA DO CLIENTE:</t>
  </si>
  <si>
    <t>ID DO CLIENTE</t>
  </si>
  <si>
    <t>NOME DO CLIENTE</t>
  </si>
  <si>
    <t>STATUS TICKET</t>
  </si>
  <si>
    <t>TODAS AS METAS FORAM ATINGIDAS?</t>
  </si>
  <si>
    <t>ALGUMA META FOI ATINGIDA?</t>
  </si>
  <si>
    <t>STATUS GERAL DAS METAS</t>
  </si>
  <si>
    <t>ACIMA</t>
  </si>
  <si>
    <t>ABAIXO</t>
  </si>
  <si>
    <t>CRAVADA</t>
  </si>
  <si>
    <t>STATUS META</t>
  </si>
  <si>
    <t>META DE TICKET MÉDIO DIA</t>
  </si>
  <si>
    <t>META DE VENDAS DIA</t>
  </si>
  <si>
    <t>STATUS META TICKET DIA</t>
  </si>
  <si>
    <t>STATUS META VENDAS DIA</t>
  </si>
  <si>
    <t>TICKET MÉDIO 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</si>
</sst>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0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37">
    <xf numFmtId="0" fontId="0" fillId="0" borderId="0" xfId="0"/>
    <xf numFmtId="0" fontId="0" fillId="0" borderId="3" xfId="0" applyBorder="1"/>
    <xf numFmtId="0" fontId="0" fillId="0" borderId="5" xfId="0" applyBorder="1"/>
    <xf numFmtId="0" fontId="2" fillId="2" borderId="1" xfId="0" applyFont="1" applyFill="1" applyBorder="1"/>
    <xf numFmtId="0" fontId="2" fillId="2" borderId="2" xfId="0" applyFont="1" applyFill="1" applyBorder="1"/>
    <xf numFmtId="44" fontId="0" fillId="0" borderId="4" xfId="1" applyFont="1" applyBorder="1"/>
    <xf numFmtId="44" fontId="0" fillId="0" borderId="6" xfId="1" applyFont="1" applyBorder="1"/>
    <xf numFmtId="44" fontId="0" fillId="0" borderId="0" xfId="1" applyFont="1"/>
    <xf numFmtId="44" fontId="1" fillId="0" borderId="0" xfId="1" applyFont="1"/>
    <xf numFmtId="0" fontId="3" fillId="3" borderId="0" xfId="0" applyFont="1" applyFill="1" applyBorder="1"/>
    <xf numFmtId="0" fontId="4" fillId="0" borderId="0" xfId="2"/>
    <xf numFmtId="0" fontId="2" fillId="2" borderId="0" xfId="0" applyFont="1" applyFill="1" applyBorder="1"/>
    <xf numFmtId="44" fontId="0" fillId="0" borderId="4" xfId="1" applyFont="1" applyBorder="1" applyAlignment="1">
      <alignment horizontal="center"/>
    </xf>
    <xf numFmtId="0" fontId="5" fillId="0" borderId="0" xfId="0" applyFont="1" applyFill="1"/>
    <xf numFmtId="0" fontId="0" fillId="5" borderId="0" xfId="0" applyFill="1"/>
    <xf numFmtId="44" fontId="3" fillId="5" borderId="0" xfId="1" applyFont="1" applyFill="1" applyBorder="1"/>
    <xf numFmtId="44" fontId="3" fillId="5" borderId="0" xfId="1" applyFont="1" applyFill="1" applyBorder="1" applyAlignment="1">
      <alignment horizontal="center"/>
    </xf>
    <xf numFmtId="0" fontId="3" fillId="3" borderId="10" xfId="0" applyFont="1" applyFill="1" applyBorder="1"/>
    <xf numFmtId="44" fontId="3" fillId="3" borderId="11" xfId="1" applyFont="1" applyFill="1" applyBorder="1"/>
    <xf numFmtId="0" fontId="3" fillId="3" borderId="12" xfId="0" applyFont="1" applyFill="1" applyBorder="1"/>
    <xf numFmtId="44" fontId="3" fillId="3" borderId="13" xfId="1" applyFont="1" applyFill="1" applyBorder="1"/>
    <xf numFmtId="44" fontId="3" fillId="3" borderId="13" xfId="1" applyFont="1" applyFill="1" applyBorder="1" applyAlignment="1">
      <alignment horizontal="center"/>
    </xf>
    <xf numFmtId="0" fontId="3" fillId="3" borderId="14" xfId="0" applyFont="1" applyFill="1" applyBorder="1"/>
    <xf numFmtId="44" fontId="3" fillId="3" borderId="15" xfId="1" applyFont="1" applyFill="1" applyBorder="1" applyAlignment="1">
      <alignment horizontal="center"/>
    </xf>
    <xf numFmtId="0" fontId="3" fillId="3" borderId="11" xfId="1" applyNumberFormat="1" applyFont="1" applyFill="1" applyBorder="1"/>
    <xf numFmtId="44" fontId="3" fillId="3" borderId="15" xfId="1" applyFont="1" applyFill="1" applyBorder="1"/>
    <xf numFmtId="0" fontId="3" fillId="3" borderId="11" xfId="1" applyNumberFormat="1" applyFont="1" applyFill="1" applyBorder="1" applyAlignment="1">
      <alignment horizontal="center"/>
    </xf>
    <xf numFmtId="0" fontId="3" fillId="3" borderId="13" xfId="1" applyNumberFormat="1" applyFont="1" applyFill="1" applyBorder="1" applyAlignment="1">
      <alignment horizontal="center"/>
    </xf>
    <xf numFmtId="0" fontId="3" fillId="3" borderId="15" xfId="1" applyNumberFormat="1" applyFont="1" applyFill="1" applyBorder="1"/>
    <xf numFmtId="0" fontId="3" fillId="5" borderId="0" xfId="0" applyFont="1" applyFill="1" applyBorder="1"/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4" borderId="8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3" fillId="3" borderId="0" xfId="1" applyNumberFormat="1" applyFont="1" applyFill="1" applyBorder="1" applyAlignment="1">
      <alignment horizontal="center"/>
    </xf>
    <xf numFmtId="44" fontId="3" fillId="3" borderId="0" xfId="1" applyFont="1" applyFill="1" applyBorder="1" applyAlignment="1">
      <alignment horizontal="center"/>
    </xf>
  </cellXfs>
  <cellStyles count="3">
    <cellStyle name="Hiperlink" xfId="2" builtinId="8"/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1"/>
  <sheetViews>
    <sheetView showGridLines="0" tabSelected="1" workbookViewId="0">
      <selection activeCell="H8" sqref="H8"/>
    </sheetView>
  </sheetViews>
  <sheetFormatPr defaultRowHeight="15" x14ac:dyDescent="0.25"/>
  <cols>
    <col min="1" max="1" width="3" customWidth="1"/>
    <col min="2" max="2" width="3.85546875" bestFit="1" customWidth="1"/>
    <col min="3" max="3" width="23.5703125" customWidth="1"/>
    <col min="4" max="4" width="25.85546875" bestFit="1" customWidth="1"/>
    <col min="5" max="5" width="19.42578125" bestFit="1" customWidth="1"/>
    <col min="6" max="6" width="2.7109375" customWidth="1"/>
    <col min="7" max="7" width="35.140625" customWidth="1"/>
    <col min="8" max="8" width="24" style="7" bestFit="1" customWidth="1"/>
    <col min="9" max="9" width="2.85546875" customWidth="1"/>
    <col min="10" max="10" width="22.140625" bestFit="1" customWidth="1"/>
    <col min="11" max="11" width="12.140625" bestFit="1" customWidth="1"/>
    <col min="12" max="12" width="3.28515625" style="14" customWidth="1"/>
    <col min="14" max="14" width="12.42578125" bestFit="1" customWidth="1"/>
  </cols>
  <sheetData>
    <row r="1" spans="2:14" ht="19.5" x14ac:dyDescent="0.3">
      <c r="B1" s="3" t="s">
        <v>22</v>
      </c>
      <c r="C1" s="3" t="s">
        <v>0</v>
      </c>
      <c r="D1" s="4" t="s">
        <v>1</v>
      </c>
      <c r="E1" s="11" t="s">
        <v>27</v>
      </c>
      <c r="H1" s="8"/>
    </row>
    <row r="2" spans="2:14" x14ac:dyDescent="0.25">
      <c r="B2" s="1">
        <v>1</v>
      </c>
      <c r="C2" s="1" t="s">
        <v>2</v>
      </c>
      <c r="D2" s="5">
        <v>1000</v>
      </c>
      <c r="E2" s="12" t="str">
        <f>IF(D2&gt;$H$2,"ACIMA","ABAIXO")</f>
        <v>ACIMA</v>
      </c>
      <c r="G2" s="17" t="s">
        <v>35</v>
      </c>
      <c r="H2" s="18">
        <v>480</v>
      </c>
      <c r="J2" s="17" t="s">
        <v>39</v>
      </c>
      <c r="K2" s="18">
        <f>AVERAGE(D2:D21)</f>
        <v>352.6</v>
      </c>
      <c r="L2" s="15"/>
      <c r="M2" s="33" t="s">
        <v>34</v>
      </c>
      <c r="N2" s="34"/>
    </row>
    <row r="3" spans="2:14" x14ac:dyDescent="0.25">
      <c r="B3" s="1">
        <v>2</v>
      </c>
      <c r="C3" s="1" t="s">
        <v>3</v>
      </c>
      <c r="D3" s="5">
        <v>244</v>
      </c>
      <c r="E3" s="12" t="str">
        <f t="shared" ref="E3:E21" si="0">IF(D3&gt;$H$2,"ACIMA","ABAIXO")</f>
        <v>ABAIXO</v>
      </c>
      <c r="G3" s="19" t="s">
        <v>36</v>
      </c>
      <c r="H3" s="20">
        <v>5000</v>
      </c>
      <c r="J3" s="22" t="s">
        <v>36</v>
      </c>
      <c r="K3" s="25">
        <f>SUM(D2:D21)</f>
        <v>7052</v>
      </c>
      <c r="L3" s="15"/>
      <c r="M3" s="30" t="s">
        <v>31</v>
      </c>
      <c r="N3" s="31"/>
    </row>
    <row r="4" spans="2:14" x14ac:dyDescent="0.25">
      <c r="B4" s="1">
        <v>3</v>
      </c>
      <c r="C4" s="1" t="s">
        <v>4</v>
      </c>
      <c r="D4" s="5">
        <v>168</v>
      </c>
      <c r="E4" s="12" t="str">
        <f t="shared" si="0"/>
        <v>ABAIXO</v>
      </c>
      <c r="G4" s="19" t="s">
        <v>37</v>
      </c>
      <c r="H4" s="21" t="s">
        <v>32</v>
      </c>
      <c r="J4" s="29"/>
      <c r="K4" s="16"/>
      <c r="L4" s="16"/>
      <c r="M4" s="30" t="s">
        <v>32</v>
      </c>
      <c r="N4" s="31"/>
    </row>
    <row r="5" spans="2:14" x14ac:dyDescent="0.25">
      <c r="B5" s="1">
        <v>4</v>
      </c>
      <c r="C5" s="1" t="s">
        <v>5</v>
      </c>
      <c r="D5" s="5">
        <v>197</v>
      </c>
      <c r="E5" s="12" t="str">
        <f t="shared" si="0"/>
        <v>ABAIXO</v>
      </c>
      <c r="G5" s="22" t="s">
        <v>38</v>
      </c>
      <c r="H5" s="23" t="s">
        <v>31</v>
      </c>
      <c r="J5" s="29"/>
      <c r="K5" s="16"/>
      <c r="L5" s="16"/>
      <c r="M5" s="32" t="s">
        <v>33</v>
      </c>
      <c r="N5" s="32"/>
    </row>
    <row r="6" spans="2:14" x14ac:dyDescent="0.25">
      <c r="B6" s="1">
        <v>5</v>
      </c>
      <c r="C6" s="1" t="s">
        <v>6</v>
      </c>
      <c r="D6" s="5">
        <v>0</v>
      </c>
      <c r="E6" s="12" t="str">
        <f t="shared" si="0"/>
        <v>ABAIXO</v>
      </c>
    </row>
    <row r="7" spans="2:14" x14ac:dyDescent="0.25">
      <c r="B7" s="1">
        <v>6</v>
      </c>
      <c r="C7" s="1" t="s">
        <v>7</v>
      </c>
      <c r="D7" s="5">
        <v>400</v>
      </c>
      <c r="E7" s="12" t="str">
        <f t="shared" si="0"/>
        <v>ABAIXO</v>
      </c>
      <c r="G7" s="17" t="s">
        <v>25</v>
      </c>
      <c r="H7" s="24">
        <v>8</v>
      </c>
    </row>
    <row r="8" spans="2:14" x14ac:dyDescent="0.25">
      <c r="B8" s="1">
        <v>7</v>
      </c>
      <c r="C8" s="1" t="s">
        <v>8</v>
      </c>
      <c r="D8" s="5">
        <v>364</v>
      </c>
      <c r="E8" s="12" t="str">
        <f t="shared" si="0"/>
        <v>ABAIXO</v>
      </c>
      <c r="G8" s="19" t="s">
        <v>26</v>
      </c>
      <c r="H8" s="20" t="str">
        <f>IFERROR(VLOOKUP(H7,B2:C21,2,0),"ID não encontrado")</f>
        <v>Genésia Azenha</v>
      </c>
    </row>
    <row r="9" spans="2:14" x14ac:dyDescent="0.25">
      <c r="B9" s="1">
        <v>8</v>
      </c>
      <c r="C9" s="1" t="s">
        <v>9</v>
      </c>
      <c r="D9" s="5">
        <v>0</v>
      </c>
      <c r="E9" s="12" t="str">
        <f t="shared" si="0"/>
        <v>ABAIXO</v>
      </c>
      <c r="G9" s="22" t="s">
        <v>1</v>
      </c>
      <c r="H9" s="25">
        <f>IFERROR(VLOOKUP(H7,B2:D21,3,0),"ID não encontrado")</f>
        <v>0</v>
      </c>
    </row>
    <row r="10" spans="2:14" x14ac:dyDescent="0.25">
      <c r="B10" s="1">
        <v>9</v>
      </c>
      <c r="C10" s="1" t="s">
        <v>10</v>
      </c>
      <c r="D10" s="5">
        <v>252</v>
      </c>
      <c r="E10" s="12" t="str">
        <f t="shared" si="0"/>
        <v>ABAIXO</v>
      </c>
    </row>
    <row r="11" spans="2:14" x14ac:dyDescent="0.25">
      <c r="B11" s="1">
        <v>10</v>
      </c>
      <c r="C11" s="1" t="s">
        <v>11</v>
      </c>
      <c r="D11" s="5">
        <v>2000</v>
      </c>
      <c r="E11" s="12" t="str">
        <f t="shared" si="0"/>
        <v>ACIMA</v>
      </c>
      <c r="G11" s="17" t="s">
        <v>28</v>
      </c>
      <c r="H11" s="26" t="str">
        <f>IF(AND(H4="ACIMA",H5="ACIMA"),"SIM","NÃO")</f>
        <v>NÃO</v>
      </c>
    </row>
    <row r="12" spans="2:14" x14ac:dyDescent="0.25">
      <c r="B12" s="1">
        <v>11</v>
      </c>
      <c r="C12" s="1" t="s">
        <v>12</v>
      </c>
      <c r="D12" s="5">
        <v>497</v>
      </c>
      <c r="E12" s="12" t="str">
        <f t="shared" si="0"/>
        <v>ACIMA</v>
      </c>
      <c r="G12" s="19" t="s">
        <v>29</v>
      </c>
      <c r="H12" s="27" t="str">
        <f>IF(OR(H4="ACIMA",H5="ACIMA"),"SIM","NÃO")</f>
        <v>SIM</v>
      </c>
    </row>
    <row r="13" spans="2:14" x14ac:dyDescent="0.25">
      <c r="B13" s="1">
        <v>12</v>
      </c>
      <c r="C13" s="1" t="s">
        <v>13</v>
      </c>
      <c r="D13" s="5">
        <v>203</v>
      </c>
      <c r="E13" s="12" t="str">
        <f t="shared" si="0"/>
        <v>ABAIXO</v>
      </c>
      <c r="G13" s="22" t="s">
        <v>30</v>
      </c>
      <c r="H13" s="28"/>
    </row>
    <row r="14" spans="2:14" x14ac:dyDescent="0.25">
      <c r="B14" s="1">
        <v>13</v>
      </c>
      <c r="C14" s="1" t="s">
        <v>14</v>
      </c>
      <c r="D14" s="5">
        <v>0</v>
      </c>
      <c r="E14" s="12" t="str">
        <f t="shared" si="0"/>
        <v>ABAIXO</v>
      </c>
      <c r="H14"/>
      <c r="M14" s="13"/>
      <c r="N14" s="13"/>
    </row>
    <row r="15" spans="2:14" x14ac:dyDescent="0.25">
      <c r="B15" s="1">
        <v>14</v>
      </c>
      <c r="C15" s="1" t="s">
        <v>15</v>
      </c>
      <c r="D15" s="5">
        <v>331</v>
      </c>
      <c r="E15" s="12" t="str">
        <f t="shared" si="0"/>
        <v>ABAIXO</v>
      </c>
      <c r="M15" s="13"/>
      <c r="N15" s="13"/>
    </row>
    <row r="16" spans="2:14" x14ac:dyDescent="0.25">
      <c r="B16" s="1">
        <v>15</v>
      </c>
      <c r="C16" s="1" t="s">
        <v>16</v>
      </c>
      <c r="D16" s="5">
        <v>104</v>
      </c>
      <c r="E16" s="12" t="str">
        <f t="shared" si="0"/>
        <v>ABAIXO</v>
      </c>
      <c r="M16" s="13"/>
      <c r="N16" s="13"/>
    </row>
    <row r="17" spans="2:14" x14ac:dyDescent="0.25">
      <c r="B17" s="1">
        <v>16</v>
      </c>
      <c r="C17" s="1" t="s">
        <v>17</v>
      </c>
      <c r="D17" s="5">
        <v>96</v>
      </c>
      <c r="E17" s="12" t="str">
        <f t="shared" si="0"/>
        <v>ABAIXO</v>
      </c>
      <c r="M17" s="13"/>
      <c r="N17" s="13"/>
    </row>
    <row r="18" spans="2:14" x14ac:dyDescent="0.25">
      <c r="B18" s="1">
        <v>17</v>
      </c>
      <c r="C18" s="1" t="s">
        <v>18</v>
      </c>
      <c r="D18" s="5">
        <v>0</v>
      </c>
      <c r="E18" s="12" t="str">
        <f t="shared" si="0"/>
        <v>ABAIXO</v>
      </c>
      <c r="M18" s="13"/>
      <c r="N18" s="13"/>
    </row>
    <row r="19" spans="2:14" x14ac:dyDescent="0.25">
      <c r="B19" s="1">
        <v>18</v>
      </c>
      <c r="C19" s="1" t="s">
        <v>19</v>
      </c>
      <c r="D19" s="5">
        <v>359</v>
      </c>
      <c r="E19" s="12" t="str">
        <f t="shared" si="0"/>
        <v>ABAIXO</v>
      </c>
      <c r="M19" s="13"/>
      <c r="N19" s="13"/>
    </row>
    <row r="20" spans="2:14" x14ac:dyDescent="0.25">
      <c r="B20" s="1">
        <v>19</v>
      </c>
      <c r="C20" s="1" t="s">
        <v>20</v>
      </c>
      <c r="D20" s="5">
        <v>476</v>
      </c>
      <c r="E20" s="12" t="str">
        <f t="shared" si="0"/>
        <v>ABAIXO</v>
      </c>
    </row>
    <row r="21" spans="2:14" ht="15.75" thickBot="1" x14ac:dyDescent="0.3">
      <c r="B21" s="2">
        <v>20</v>
      </c>
      <c r="C21" s="2" t="s">
        <v>21</v>
      </c>
      <c r="D21" s="6">
        <v>361</v>
      </c>
      <c r="E21" s="12" t="str">
        <f t="shared" si="0"/>
        <v>ABAIXO</v>
      </c>
    </row>
  </sheetData>
  <mergeCells count="4">
    <mergeCell ref="M3:N3"/>
    <mergeCell ref="M4:N4"/>
    <mergeCell ref="M5:N5"/>
    <mergeCell ref="M2:N2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showGridLines="0" workbookViewId="0">
      <selection activeCell="B7" sqref="B7:D7"/>
    </sheetView>
  </sheetViews>
  <sheetFormatPr defaultRowHeight="15" x14ac:dyDescent="0.25"/>
  <cols>
    <col min="1" max="1" width="30.28515625" bestFit="1" customWidth="1"/>
    <col min="2" max="2" width="12.140625" bestFit="1" customWidth="1"/>
    <col min="3" max="3" width="11.7109375" bestFit="1" customWidth="1"/>
    <col min="4" max="4" width="15.140625" bestFit="1" customWidth="1"/>
    <col min="5" max="5" width="12.7109375" bestFit="1" customWidth="1"/>
    <col min="6" max="6" width="11.140625" bestFit="1" customWidth="1"/>
    <col min="7" max="7" width="14" bestFit="1" customWidth="1"/>
    <col min="8" max="8" width="15.7109375" bestFit="1" customWidth="1"/>
    <col min="9" max="9" width="15.28515625" bestFit="1" customWidth="1"/>
    <col min="10" max="10" width="12.85546875" bestFit="1" customWidth="1"/>
    <col min="11" max="11" width="17.7109375" bestFit="1" customWidth="1"/>
  </cols>
  <sheetData>
    <row r="1" spans="1:11" ht="15.75" thickBot="1" x14ac:dyDescent="0.3"/>
    <row r="2" spans="1:11" ht="20.25" thickBot="1" x14ac:dyDescent="0.35">
      <c r="A2" s="3" t="s">
        <v>22</v>
      </c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</row>
    <row r="3" spans="1:11" ht="20.25" thickBot="1" x14ac:dyDescent="0.35">
      <c r="A3" s="3" t="s">
        <v>0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</row>
    <row r="4" spans="1:11" ht="19.5" x14ac:dyDescent="0.3">
      <c r="A4" s="4" t="s">
        <v>1</v>
      </c>
      <c r="B4" s="5">
        <v>1000</v>
      </c>
      <c r="C4" s="5">
        <v>244</v>
      </c>
      <c r="D4" s="5">
        <v>168</v>
      </c>
      <c r="E4" s="5">
        <v>197</v>
      </c>
      <c r="F4" s="5"/>
      <c r="G4" s="5">
        <v>400</v>
      </c>
      <c r="H4" s="5">
        <v>364</v>
      </c>
      <c r="I4" s="5"/>
      <c r="J4" s="5">
        <v>252</v>
      </c>
      <c r="K4" s="5">
        <v>2000</v>
      </c>
    </row>
    <row r="7" spans="1:11" x14ac:dyDescent="0.25">
      <c r="A7" s="9" t="s">
        <v>23</v>
      </c>
      <c r="B7" s="35" t="s">
        <v>4</v>
      </c>
      <c r="C7" s="35"/>
      <c r="D7" s="35"/>
    </row>
    <row r="8" spans="1:11" x14ac:dyDescent="0.25">
      <c r="A8" s="9" t="s">
        <v>24</v>
      </c>
      <c r="B8" s="36">
        <f>HLOOKUP(B7,B3:K4,2,0)</f>
        <v>168</v>
      </c>
      <c r="C8" s="36"/>
      <c r="D8" s="36"/>
    </row>
    <row r="10" spans="1:11" x14ac:dyDescent="0.25">
      <c r="A10" s="9" t="s">
        <v>25</v>
      </c>
      <c r="B10" s="35">
        <v>4</v>
      </c>
      <c r="C10" s="35"/>
      <c r="D10" s="35"/>
    </row>
    <row r="11" spans="1:11" x14ac:dyDescent="0.25">
      <c r="A11" s="9" t="s">
        <v>26</v>
      </c>
      <c r="B11" s="36" t="str">
        <f>_xlfn.XLOOKUP(B10,B2:K2,B3:K3,"Não encontrado",0,1)</f>
        <v>Ângela Teves</v>
      </c>
      <c r="C11" s="36"/>
      <c r="D11" s="36"/>
    </row>
    <row r="12" spans="1:11" x14ac:dyDescent="0.25">
      <c r="A12" s="9" t="s">
        <v>1</v>
      </c>
      <c r="B12" s="36">
        <f>_xlfn.XLOOKUP(B10,B2:K2,B4:K4,"Não encontrado",0,1)</f>
        <v>197</v>
      </c>
      <c r="C12" s="36"/>
      <c r="D12" s="36"/>
      <c r="E12" s="10"/>
    </row>
  </sheetData>
  <mergeCells count="5">
    <mergeCell ref="B7:D7"/>
    <mergeCell ref="B8:D8"/>
    <mergeCell ref="B10:D10"/>
    <mergeCell ref="B11:D11"/>
    <mergeCell ref="B12:D1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DIA 1</vt:lpstr>
      <vt:lpstr>DIA 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Fróes</dc:creator>
  <cp:lastModifiedBy>Marco Aurélio Moreira</cp:lastModifiedBy>
  <dcterms:created xsi:type="dcterms:W3CDTF">2021-07-17T18:32:33Z</dcterms:created>
  <dcterms:modified xsi:type="dcterms:W3CDTF">2026-06-03T14:48:42Z</dcterms:modified>
</cp:coreProperties>
</file>